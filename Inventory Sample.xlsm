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bf74a3bbd918c08/Desktop/"/>
    </mc:Choice>
  </mc:AlternateContent>
  <xr:revisionPtr revIDLastSave="194" documentId="13_ncr:1_{2E45A240-9FEC-4821-B0C6-977DF83BA7D7}" xr6:coauthVersionLast="47" xr6:coauthVersionMax="47" xr10:uidLastSave="{6912724D-09AF-448B-9A73-B4383E02A90C}"/>
  <bookViews>
    <workbookView xWindow="-120" yWindow="-120" windowWidth="29040" windowHeight="15840" tabRatio="875" xr2:uid="{EE2D46E2-DCA8-46D5-B293-E9E5FC946059}"/>
  </bookViews>
  <sheets>
    <sheet name="LPUpload Bot" sheetId="6" r:id="rId1"/>
    <sheet name="Resale Inventory" sheetId="28" r:id="rId2"/>
  </sheets>
  <definedNames>
    <definedName name="_xlnm._FilterDatabase" localSheetId="1" hidden="1">'Resale Inventory'!$A$1:$V$28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28" l="1" a="1"/>
  <c r="N2" i="28" s="1"/>
  <c r="P2" i="28" s="1"/>
  <c r="Q2" i="28" s="1"/>
  <c r="R2" i="28"/>
  <c r="S2" i="28"/>
  <c r="U2" i="28" s="1"/>
  <c r="T2" i="28"/>
  <c r="V2" i="28"/>
  <c r="N3" i="28" a="1"/>
  <c r="N3" i="28" s="1"/>
  <c r="P3" i="28" s="1"/>
  <c r="Q3" i="28" s="1"/>
  <c r="R3" i="28"/>
  <c r="S3" i="28"/>
  <c r="U3" i="28" s="1"/>
  <c r="T3" i="28"/>
  <c r="V3" i="28"/>
  <c r="N4" i="28" a="1"/>
  <c r="N4" i="28" s="1"/>
  <c r="P4" i="28"/>
  <c r="Q4" i="28" s="1"/>
  <c r="R4" i="28"/>
  <c r="S4" i="28"/>
  <c r="U4" i="28" s="1"/>
  <c r="T4" i="28"/>
  <c r="V4" i="28"/>
  <c r="N5" i="28" a="1"/>
  <c r="N5" i="28"/>
  <c r="P5" i="28" s="1"/>
  <c r="Q5" i="28" s="1"/>
  <c r="R5" i="28"/>
  <c r="S5" i="28"/>
  <c r="U5" i="28" s="1"/>
  <c r="T5" i="28"/>
  <c r="V5" i="28"/>
  <c r="N6" i="28" a="1"/>
  <c r="N6" i="28" s="1"/>
  <c r="P6" i="28" s="1"/>
  <c r="Q6" i="28" s="1"/>
  <c r="R6" i="28"/>
  <c r="S6" i="28"/>
  <c r="U6" i="28" s="1"/>
  <c r="T6" i="28"/>
  <c r="V6" i="28"/>
  <c r="N7" i="28" a="1"/>
  <c r="N7" i="28" s="1"/>
  <c r="P7" i="28" s="1"/>
  <c r="Q7" i="28" s="1"/>
  <c r="R7" i="28"/>
  <c r="S7" i="28"/>
  <c r="U7" i="28" s="1"/>
  <c r="T7" i="28"/>
  <c r="V7" i="28"/>
  <c r="N8" i="28" a="1"/>
  <c r="N8" i="28" s="1"/>
  <c r="P8" i="28" s="1"/>
  <c r="Q8" i="28" s="1"/>
  <c r="R8" i="28"/>
  <c r="S8" i="28"/>
  <c r="U8" i="28" s="1"/>
  <c r="T8" i="28"/>
  <c r="V8" i="28"/>
  <c r="N9" i="28" a="1"/>
  <c r="N9" i="28" s="1"/>
  <c r="P9" i="28" s="1"/>
  <c r="Q9" i="28" s="1"/>
  <c r="R9" i="28"/>
  <c r="S9" i="28"/>
  <c r="U9" i="28" s="1"/>
  <c r="T9" i="28"/>
  <c r="V9" i="28"/>
  <c r="N10" i="28" a="1"/>
  <c r="N10" i="28" s="1"/>
  <c r="P10" i="28" s="1"/>
  <c r="Q10" i="28" s="1"/>
  <c r="R10" i="28"/>
  <c r="S10" i="28"/>
  <c r="U10" i="28" s="1"/>
  <c r="T10" i="28"/>
  <c r="V10" i="28"/>
  <c r="N11" i="28" a="1"/>
  <c r="N11" i="28" s="1"/>
  <c r="P11" i="28" s="1"/>
  <c r="Q11" i="28" s="1"/>
  <c r="R11" i="28"/>
  <c r="S11" i="28"/>
  <c r="U11" i="28" s="1"/>
  <c r="T11" i="28"/>
  <c r="V11" i="28"/>
  <c r="N12" i="28" a="1"/>
  <c r="N12" i="28" s="1"/>
  <c r="P12" i="28"/>
  <c r="Q12" i="28" s="1"/>
  <c r="R12" i="28"/>
  <c r="S12" i="28"/>
  <c r="U12" i="28" s="1"/>
  <c r="T12" i="28"/>
  <c r="V12" i="28"/>
  <c r="N13" i="28" a="1"/>
  <c r="N13" i="28" s="1"/>
  <c r="P13" i="28" s="1"/>
  <c r="Q13" i="28" s="1"/>
  <c r="R13" i="28"/>
  <c r="S13" i="28"/>
  <c r="U13" i="28" s="1"/>
  <c r="T13" i="28"/>
  <c r="V13" i="28"/>
  <c r="N14" i="28" a="1"/>
  <c r="N14" i="28" s="1"/>
  <c r="P14" i="28" s="1"/>
  <c r="Q14" i="28" s="1"/>
  <c r="R14" i="28"/>
  <c r="S14" i="28"/>
  <c r="U14" i="28" s="1"/>
  <c r="T14" i="28"/>
  <c r="V14" i="28"/>
  <c r="N15" i="28" a="1"/>
  <c r="N15" i="28" s="1"/>
  <c r="P15" i="28" s="1"/>
  <c r="Q15" i="28" s="1"/>
  <c r="R15" i="28"/>
  <c r="S15" i="28"/>
  <c r="T15" i="28"/>
  <c r="U15" i="28"/>
  <c r="V15" i="28"/>
  <c r="N16" i="28" a="1"/>
  <c r="N16" i="28" s="1"/>
  <c r="P16" i="28" s="1"/>
  <c r="Q16" i="28" s="1"/>
  <c r="R16" i="28"/>
  <c r="S16" i="28"/>
  <c r="U16" i="28" s="1"/>
  <c r="T16" i="28"/>
  <c r="V16" i="28"/>
  <c r="N17" i="28" a="1"/>
  <c r="N17" i="28" s="1"/>
  <c r="P17" i="28" s="1"/>
  <c r="Q17" i="28" s="1"/>
  <c r="R17" i="28"/>
  <c r="S17" i="28"/>
  <c r="U17" i="28" s="1"/>
  <c r="T17" i="28"/>
  <c r="V17" i="28"/>
  <c r="N18" i="28" a="1"/>
  <c r="N18" i="28" s="1"/>
  <c r="P18" i="28" s="1"/>
  <c r="Q18" i="28" s="1"/>
  <c r="R18" i="28"/>
  <c r="S18" i="28"/>
  <c r="T18" i="28"/>
  <c r="U18" i="28"/>
  <c r="V18" i="28"/>
  <c r="N19" i="28" a="1"/>
  <c r="N19" i="28" s="1"/>
  <c r="P19" i="28" s="1"/>
  <c r="Q19" i="28" s="1"/>
  <c r="R19" i="28"/>
  <c r="S19" i="28"/>
  <c r="U19" i="28" s="1"/>
  <c r="T19" i="28"/>
  <c r="V19" i="28"/>
  <c r="N20" i="28" a="1"/>
  <c r="N20" i="28" s="1"/>
  <c r="P20" i="28"/>
  <c r="Q20" i="28" s="1"/>
  <c r="R20" i="28"/>
  <c r="S20" i="28"/>
  <c r="U20" i="28" s="1"/>
  <c r="T20" i="28"/>
  <c r="V20" i="28"/>
  <c r="N21" i="28" a="1"/>
  <c r="N21" i="28" s="1"/>
  <c r="P21" i="28" s="1"/>
  <c r="Q21" i="28" s="1"/>
  <c r="R21" i="28"/>
  <c r="S21" i="28"/>
  <c r="U21" i="28" s="1"/>
  <c r="T21" i="28"/>
  <c r="V21" i="28"/>
  <c r="N22" i="28" a="1"/>
  <c r="N22" i="28" s="1"/>
  <c r="P22" i="28" s="1"/>
  <c r="Q22" i="28" s="1"/>
  <c r="R22" i="28"/>
  <c r="S22" i="28"/>
  <c r="U22" i="28" s="1"/>
  <c r="T22" i="28"/>
  <c r="V22" i="28"/>
  <c r="N23" i="28" a="1"/>
  <c r="N23" i="28" s="1"/>
  <c r="P23" i="28" s="1"/>
  <c r="Q23" i="28" s="1"/>
  <c r="R23" i="28"/>
  <c r="S23" i="28"/>
  <c r="U23" i="28" s="1"/>
  <c r="T23" i="28"/>
  <c r="V23" i="28"/>
  <c r="N24" i="28" a="1"/>
  <c r="N24" i="28" s="1"/>
  <c r="P24" i="28"/>
  <c r="Q24" i="28" s="1"/>
  <c r="R24" i="28"/>
  <c r="S24" i="28"/>
  <c r="U24" i="28" s="1"/>
  <c r="T24" i="28"/>
  <c r="V24" i="28"/>
  <c r="N25" i="28" a="1"/>
  <c r="N25" i="28" s="1"/>
  <c r="P25" i="28" s="1"/>
  <c r="Q25" i="28" s="1"/>
  <c r="R25" i="28"/>
  <c r="S25" i="28"/>
  <c r="U25" i="28" s="1"/>
  <c r="T25" i="28"/>
  <c r="V25" i="28"/>
  <c r="N26" i="28" a="1"/>
  <c r="N26" i="28" s="1"/>
  <c r="P26" i="28" s="1"/>
  <c r="Q26" i="28" s="1"/>
  <c r="R26" i="28"/>
  <c r="S26" i="28"/>
  <c r="U26" i="28" s="1"/>
  <c r="T26" i="28"/>
  <c r="V26" i="28"/>
  <c r="N27" i="28" a="1"/>
  <c r="N27" i="28" s="1"/>
  <c r="P27" i="28" s="1"/>
  <c r="Q27" i="28" s="1"/>
  <c r="R27" i="28"/>
  <c r="S27" i="28"/>
  <c r="U27" i="28" s="1"/>
  <c r="T27" i="28"/>
  <c r="V27" i="28"/>
  <c r="N28" i="28" l="1" a="1"/>
  <c r="N28" i="28" s="1"/>
  <c r="P28" i="28"/>
  <c r="Q28" i="28" s="1"/>
  <c r="R28" i="28"/>
  <c r="S28" i="28"/>
  <c r="U28" i="28" s="1"/>
  <c r="T28" i="28"/>
  <c r="V28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<sst xmlns="http://schemas.openxmlformats.org/spreadsheetml/2006/main" count="226" uniqueCount="152">
  <si>
    <t>Title</t>
  </si>
  <si>
    <t>Brand</t>
  </si>
  <si>
    <t>Color Shade</t>
  </si>
  <si>
    <t>Size</t>
  </si>
  <si>
    <t>SKU</t>
  </si>
  <si>
    <t>L</t>
  </si>
  <si>
    <t>Blue</t>
  </si>
  <si>
    <t>Complete</t>
  </si>
  <si>
    <t>Anthropologie</t>
  </si>
  <si>
    <t>List Price</t>
  </si>
  <si>
    <t>XS</t>
  </si>
  <si>
    <t>S</t>
  </si>
  <si>
    <t>M</t>
  </si>
  <si>
    <t>XL</t>
  </si>
  <si>
    <t>1X</t>
  </si>
  <si>
    <t>2X</t>
  </si>
  <si>
    <t>3X</t>
  </si>
  <si>
    <t>Bin#</t>
  </si>
  <si>
    <t>Platform Sold</t>
  </si>
  <si>
    <t>Gross Sales</t>
  </si>
  <si>
    <t>Platform Fee</t>
  </si>
  <si>
    <t>Shipping</t>
  </si>
  <si>
    <t>Gross Profit</t>
  </si>
  <si>
    <t>Date Sold</t>
  </si>
  <si>
    <t>Age of Listing</t>
  </si>
  <si>
    <t>Year Month Sold</t>
  </si>
  <si>
    <t>Date Listed</t>
  </si>
  <si>
    <t>Drafted Identifier</t>
  </si>
  <si>
    <t xml:space="preserve">When macro is ran, data from "Resale Inventory" is input into a www.listperfectly.com catalogue listing. </t>
  </si>
  <si>
    <t xml:space="preserve">The Identifier in column A requires a '1' to tell the macro to upload the information in this row. </t>
  </si>
  <si>
    <t xml:space="preserve">Once it is uploaded, the macro marks it as 'Completed.' </t>
  </si>
  <si>
    <t>About</t>
  </si>
  <si>
    <t>Selenium GoogleChrome version must stay compatible with your Google Chrome version.</t>
  </si>
  <si>
    <t>Version History</t>
  </si>
  <si>
    <t>Created</t>
  </si>
  <si>
    <t>Year Month Listed</t>
  </si>
  <si>
    <t>v1</t>
  </si>
  <si>
    <t>v2</t>
  </si>
  <si>
    <t>v3</t>
  </si>
  <si>
    <t>Loop added</t>
  </si>
  <si>
    <t>Spreadsheet built out, code updated with new sheet name and cell references</t>
  </si>
  <si>
    <t>v4</t>
  </si>
  <si>
    <t>Added button and 'activate' sheet code in LoopModule</t>
  </si>
  <si>
    <t>Torrid</t>
  </si>
  <si>
    <t>Madewell</t>
  </si>
  <si>
    <t>Umgee</t>
  </si>
  <si>
    <t>J. Jill</t>
  </si>
  <si>
    <t>Free People</t>
  </si>
  <si>
    <t>We The Free</t>
  </si>
  <si>
    <t>Grey</t>
  </si>
  <si>
    <t>Red</t>
  </si>
  <si>
    <t>Pink</t>
  </si>
  <si>
    <t>Tan</t>
  </si>
  <si>
    <t>Black</t>
  </si>
  <si>
    <t>Cream</t>
  </si>
  <si>
    <t>Cabi</t>
  </si>
  <si>
    <t>Instructions to update Selenium GoogleChrome version</t>
  </si>
  <si>
    <t>http://chromedriver.chromium.org/downloads</t>
  </si>
  <si>
    <t>Extract file</t>
  </si>
  <si>
    <t>Copy/Paste chromedriver file application to Selenium folder</t>
  </si>
  <si>
    <t>v5</t>
  </si>
  <si>
    <t>Added instructions to update chromedriver version</t>
  </si>
  <si>
    <t xml:space="preserve">Open Google Chrome, go to 3 dots on right hand side, navigate to Help then About Google Chrome. </t>
  </si>
  <si>
    <t>Current version of chrome will be listed (e.g. Version 111.0.5563.65 - version is 111)</t>
  </si>
  <si>
    <t>Download required version (win32 file)</t>
  </si>
  <si>
    <t>The macro launches Google Chrome and requires the Selenium reference to be enabled in VBA.</t>
  </si>
  <si>
    <t>https://github.com/florentbr/seleniumbasic/releases</t>
  </si>
  <si>
    <t>Condition Notes</t>
  </si>
  <si>
    <t>Excellent pre-owned condition. No holes, stains or tears.</t>
  </si>
  <si>
    <t>Red, Blue</t>
  </si>
  <si>
    <t>Blue, White</t>
  </si>
  <si>
    <t>Vince</t>
  </si>
  <si>
    <t>Red, Purple</t>
  </si>
  <si>
    <t>Grey, Black</t>
  </si>
  <si>
    <t>Pink, Black</t>
  </si>
  <si>
    <t>Pink, Red</t>
  </si>
  <si>
    <t>Pink, White</t>
  </si>
  <si>
    <t>Blue, Red</t>
  </si>
  <si>
    <t>Soft Surroundings</t>
  </si>
  <si>
    <t>Susan Graver</t>
  </si>
  <si>
    <t>Net Profit after COGS</t>
  </si>
  <si>
    <t>Year Sold</t>
  </si>
  <si>
    <t>Maggie Barnes</t>
  </si>
  <si>
    <t>Day Listed</t>
  </si>
  <si>
    <t>One Size</t>
  </si>
  <si>
    <t>Grey, Blue</t>
  </si>
  <si>
    <t>L Tall</t>
  </si>
  <si>
    <t>Brown, Tan</t>
  </si>
  <si>
    <t>Pink, Green</t>
  </si>
  <si>
    <t>Neiman Marcus</t>
  </si>
  <si>
    <t>fig and flower</t>
  </si>
  <si>
    <t>J. Jill PureJill Womens Floral Embroidered V-Neck Tunic Size M 100% Cotton</t>
  </si>
  <si>
    <t>J. Jill Womens Pima Cotton 3/4 Sleeve V-Neck Top Size L Floral Pullover T-Shirt</t>
  </si>
  <si>
    <t>J. Jill Luxe Supima Forward Seam Tunic Size M Boho 3/4 Sleeve Crew Neck</t>
  </si>
  <si>
    <t>F0827</t>
  </si>
  <si>
    <t>F0828</t>
  </si>
  <si>
    <t>F0829</t>
  </si>
  <si>
    <t>J. Jill Womens V-Neck Tunic Sweater Size L Tall V-Neck Long Sleeve Ribbed Red</t>
  </si>
  <si>
    <t>Free People Womens Tie Front Kimono One Size Floral Dolman Sleeve Open Front</t>
  </si>
  <si>
    <t>Free People Gray Ventura Raglan Waffle Knit Thermal Top Size XS Long Sleeve</t>
  </si>
  <si>
    <t>Life is Good</t>
  </si>
  <si>
    <t>Life is Good Crusher Lite Hoodie Long Sleeve Womens XS Floral Pink Cotton</t>
  </si>
  <si>
    <t>Vince Cashmere Blend Thermal Zip Up Hoodie Waffle Knit Heather Cloud Size XS</t>
  </si>
  <si>
    <t>F0830</t>
  </si>
  <si>
    <t>F0831</t>
  </si>
  <si>
    <t>F0832</t>
  </si>
  <si>
    <t>F0833</t>
  </si>
  <si>
    <t>F0834</t>
  </si>
  <si>
    <t>Torrid Womens Open Front Cardigan Size 2X 3/4 Sleeve Electric Royal Blue</t>
  </si>
  <si>
    <t>Vince Womens Shirred Drape Silk Pullover Tunic Top Size M V-Neck Long Sleeve</t>
  </si>
  <si>
    <t>Neiman Marcus Cashmere Collection Womens Cardigan Floral Leather Trim Size M</t>
  </si>
  <si>
    <t>Anthropologie Troubadour Frosted Horizon Sea Blue Alpaca Wool Sweater Size XS</t>
  </si>
  <si>
    <t>Soft Surroundings 100% Silk Beaux Arts Tunic &amp; Cami Gray Chiffon Size Petite S</t>
  </si>
  <si>
    <t>PS</t>
  </si>
  <si>
    <t>F0835</t>
  </si>
  <si>
    <t>F0836</t>
  </si>
  <si>
    <t>F0837</t>
  </si>
  <si>
    <t>F0838</t>
  </si>
  <si>
    <t>F0839</t>
  </si>
  <si>
    <t>F0840</t>
  </si>
  <si>
    <t>F0841</t>
  </si>
  <si>
    <t>F0842</t>
  </si>
  <si>
    <t>F0843</t>
  </si>
  <si>
    <t>F0844</t>
  </si>
  <si>
    <t>F0845</t>
  </si>
  <si>
    <t>F0846</t>
  </si>
  <si>
    <t>F0847</t>
  </si>
  <si>
    <t>F0848</t>
  </si>
  <si>
    <t>F0849</t>
  </si>
  <si>
    <t>F0851</t>
  </si>
  <si>
    <t>F0852</t>
  </si>
  <si>
    <t>F0853</t>
  </si>
  <si>
    <t>F0854</t>
  </si>
  <si>
    <t>Maggie Barnes Womens Button Front Shirt Size 2X 3/4 Sleeves Wide Sleeves Floral</t>
  </si>
  <si>
    <t>J. Jill Womens Tunic Top Size XL Floral V-Neck Wide Sleeves Tie Neck Overlay</t>
  </si>
  <si>
    <t>Fig &amp; Flower Womens Tunic Top Size 2X Button Front Long Sleeve Floral Watercolor</t>
  </si>
  <si>
    <t>J. Jill Womens Button Front Top Size M Plaid Long Sleeve Ruffle Front Collared</t>
  </si>
  <si>
    <t>Fig and Flower Womens Tunic Top Size L 3/4 Sleeve Boho 1/4 Button Mixed Media</t>
  </si>
  <si>
    <t>CABi 3069 Jade Leaf Print Blouse Size L Round Neck Long Sleeve Chiffon Geometric</t>
  </si>
  <si>
    <t>Blue, Ivory</t>
  </si>
  <si>
    <t>Free People Womens Reign Over Me Lace Mini Dress Size S Long Sleeve Black V-Neck</t>
  </si>
  <si>
    <t>Susan Graver Printed Woven Open Front Cardigan Size XL Waterfall Chiffon Blue</t>
  </si>
  <si>
    <t>Umgee NWT Womens Peasant Top Size S 3/4 Sleeve V-Neck Floral Ruffle Neck</t>
  </si>
  <si>
    <t>Fig &amp; Flower Womens Tunic Top Size 1X Boho 3/4 Sleeve V-Neck Floral</t>
  </si>
  <si>
    <t>Soft Surroundings Womens Open Knit Cardigan Size M Tan Long Sleeve V-Neck</t>
  </si>
  <si>
    <t>Free People We The Free Womens Catalina Long Sleeve Henley Size XS V-Neck</t>
  </si>
  <si>
    <t>Madewell Womens Arion Plaid Shirt Size S J4829 Cabernet Red Wrap Collar V-neck</t>
  </si>
  <si>
    <t>Free People Womens Wild and Free Paisley Top Size S Cropped Boho V-Neck</t>
  </si>
  <si>
    <t>CLICK BUTTON TO RUN</t>
  </si>
  <si>
    <t>To use:</t>
  </si>
  <si>
    <t>Edit macro and enter your username and password for List Perfectly</t>
  </si>
  <si>
    <t>Download Selenium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</si>
</sst>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44" fontId="0" fillId="0" borderId="0" xfId="1" applyFont="1"/>
    <xf numFmtId="0" fontId="2" fillId="0" borderId="0" xfId="0" applyFont="1"/>
    <xf numFmtId="14" fontId="0" fillId="0" borderId="0" xfId="0" applyNumberFormat="1"/>
    <xf numFmtId="0" fontId="4" fillId="0" borderId="0" xfId="2"/>
    <xf numFmtId="0" fontId="5" fillId="0" borderId="0" xfId="0" applyFont="1"/>
    <xf numFmtId="14" fontId="2" fillId="0" borderId="0" xfId="0" applyNumberFormat="1" applyFont="1"/>
    <xf numFmtId="0" fontId="6" fillId="0" borderId="0" xfId="0" applyFont="1" applyAlignment="1">
      <alignment wrapText="1"/>
    </xf>
    <xf numFmtId="44" fontId="0" fillId="0" borderId="0" xfId="1" applyFont="1" applyFill="1"/>
    <xf numFmtId="0" fontId="0" fillId="0" borderId="0" xfId="0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447675</xdr:colOff>
      <xdr:row>0</xdr:row>
      <xdr:rowOff>104775</xdr:rowOff>
    </xdr:from>
    <xdr:to>
      <xdr:col>16</xdr:col>
      <xdr:colOff>485775</xdr:colOff>
      <xdr:row>16</xdr:row>
      <xdr:rowOff>142875</xdr:rowOff>
    </xdr:to>
    <xdr:pic macro="[0]!uploadLoop">
      <xdr:nvPicPr>
        <xdr:cNvPr id="3" name="Graphic 2" descr="Alterations &amp; Tailoring with solid fill">
          <a:extLst>
            <a:ext uri="{FF2B5EF4-FFF2-40B4-BE49-F238E27FC236}">
              <a16:creationId xmlns:a16="http://schemas.microsoft.com/office/drawing/2014/main" id="{EA2C5737-01B9-E723-E397-731FE7500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91325" y="104775"/>
          <a:ext cx="3086100" cy="30861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hromedriver.chromium.org/download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B789-0C24-4495-99BC-AC8DBA0021F1}">
  <sheetPr codeName="Sheet6"/>
  <dimension ref="B1:T21"/>
  <sheetViews>
    <sheetView tabSelected="1" workbookViewId="0">
      <selection activeCell="B11" sqref="B11"/>
    </sheetView>
  </sheetViews>
  <sheetFormatPr defaultRowHeight="15" x14ac:dyDescent="0.25"/>
  <cols>
    <col min="1" max="1" width="2.28515625" customWidth="1"/>
    <col min="2" max="2" width="10.5703125" bestFit="1" customWidth="1"/>
    <col min="13" max="13" width="9.140625" customWidth="1"/>
  </cols>
  <sheetData>
    <row r="1" spans="2:20" x14ac:dyDescent="0.25">
      <c r="B1" s="5" t="s">
        <v>31</v>
      </c>
    </row>
    <row r="2" spans="2:20" x14ac:dyDescent="0.25">
      <c r="B2" t="s">
        <v>28</v>
      </c>
      <c r="N2" s="9" t="s">
        <v>148</v>
      </c>
      <c r="O2" s="9"/>
      <c r="P2" s="9"/>
      <c r="R2" s="2" t="s">
        <v>56</v>
      </c>
    </row>
    <row r="3" spans="2:20" x14ac:dyDescent="0.25">
      <c r="B3" t="s">
        <v>29</v>
      </c>
      <c r="R3" t="s">
        <v>62</v>
      </c>
    </row>
    <row r="4" spans="2:20" x14ac:dyDescent="0.25">
      <c r="B4" t="s">
        <v>30</v>
      </c>
      <c r="S4" t="s">
        <v>63</v>
      </c>
    </row>
    <row r="5" spans="2:20" x14ac:dyDescent="0.25">
      <c r="B5" t="s">
        <v>65</v>
      </c>
      <c r="R5" s="4" t="s">
        <v>57</v>
      </c>
    </row>
    <row r="6" spans="2:20" x14ac:dyDescent="0.25">
      <c r="B6" t="s">
        <v>32</v>
      </c>
      <c r="R6" t="s">
        <v>64</v>
      </c>
    </row>
    <row r="7" spans="2:20" x14ac:dyDescent="0.25">
      <c r="B7" t="s">
        <v>66</v>
      </c>
      <c r="S7" t="s">
        <v>58</v>
      </c>
    </row>
    <row r="8" spans="2:20" x14ac:dyDescent="0.25">
      <c r="S8" t="s">
        <v>59</v>
      </c>
    </row>
    <row r="9" spans="2:20" x14ac:dyDescent="0.25">
      <c r="B9" t="s">
        <v>149</v>
      </c>
      <c r="T9" s="4"/>
    </row>
    <row r="10" spans="2:20" x14ac:dyDescent="0.25">
      <c r="B10" t="s">
        <v>151</v>
      </c>
      <c r="T10" s="4"/>
    </row>
    <row r="11" spans="2:20" x14ac:dyDescent="0.25">
      <c r="B11" t="s">
        <v>150</v>
      </c>
    </row>
    <row r="16" spans="2:20" x14ac:dyDescent="0.25">
      <c r="B16" s="5" t="s">
        <v>33</v>
      </c>
    </row>
    <row r="17" spans="2:4" x14ac:dyDescent="0.25">
      <c r="B17" s="6">
        <v>44948</v>
      </c>
      <c r="C17" t="s">
        <v>36</v>
      </c>
      <c r="D17" t="s">
        <v>34</v>
      </c>
    </row>
    <row r="18" spans="2:4" x14ac:dyDescent="0.25">
      <c r="B18" s="6">
        <v>44949</v>
      </c>
      <c r="C18" t="s">
        <v>37</v>
      </c>
      <c r="D18" t="s">
        <v>39</v>
      </c>
    </row>
    <row r="19" spans="2:4" x14ac:dyDescent="0.25">
      <c r="B19" s="6">
        <v>44950</v>
      </c>
      <c r="C19" t="s">
        <v>38</v>
      </c>
      <c r="D19" t="s">
        <v>40</v>
      </c>
    </row>
    <row r="20" spans="2:4" x14ac:dyDescent="0.25">
      <c r="B20" s="6">
        <v>44950</v>
      </c>
      <c r="C20" t="s">
        <v>41</v>
      </c>
      <c r="D20" t="s">
        <v>42</v>
      </c>
    </row>
    <row r="21" spans="2:4" x14ac:dyDescent="0.25">
      <c r="B21" s="6">
        <v>45005</v>
      </c>
      <c r="C21" t="s">
        <v>60</v>
      </c>
      <c r="D21" t="s">
        <v>61</v>
      </c>
    </row>
  </sheetData>
  <mergeCells count="1">
    <mergeCell ref="N2:P2"/>
  </mergeCells>
  <hyperlinks>
    <hyperlink ref="R5" r:id="rId1" xr:uid="{E00EFCEA-F7F2-40C2-898D-E5D61E1762D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D3908-18B1-4EBE-91EB-7C7212BCB62C}">
  <sheetPr codeName="Sheet1"/>
  <dimension ref="A1:V28"/>
  <sheetViews>
    <sheetView zoomScaleNormal="100" workbookViewId="0">
      <pane ySplit="1" topLeftCell="A2" activePane="bottomLeft" state="frozen"/>
      <selection pane="bottomLeft" activeCell="M16" sqref="M16"/>
    </sheetView>
  </sheetViews>
  <sheetFormatPr defaultRowHeight="12.75" customHeight="1" x14ac:dyDescent="0.25"/>
  <cols>
    <col min="2" max="2" width="13.140625" style="3" bestFit="1" customWidth="1"/>
    <col min="5" max="5" width="37.42578125" customWidth="1"/>
    <col min="10" max="10" width="9.140625" bestFit="1" customWidth="1"/>
    <col min="11" max="11" width="11.7109375" style="3" bestFit="1" customWidth="1"/>
    <col min="13" max="13" width="10.5703125" style="1" bestFit="1" customWidth="1"/>
    <col min="14" max="17" width="9.140625" style="1"/>
    <col min="19" max="22" width="9.140625" customWidth="1"/>
  </cols>
  <sheetData>
    <row r="1" spans="1:22" ht="15" x14ac:dyDescent="0.25">
      <c r="A1" t="s">
        <v>27</v>
      </c>
      <c r="B1" s="3" t="s">
        <v>26</v>
      </c>
      <c r="C1" t="s">
        <v>17</v>
      </c>
      <c r="D1" t="s">
        <v>4</v>
      </c>
      <c r="E1" s="7" t="s">
        <v>0</v>
      </c>
      <c r="F1" t="s">
        <v>9</v>
      </c>
      <c r="G1" t="s">
        <v>1</v>
      </c>
      <c r="H1" t="s">
        <v>2</v>
      </c>
      <c r="I1" t="s">
        <v>3</v>
      </c>
      <c r="J1" t="s">
        <v>67</v>
      </c>
      <c r="K1" s="3" t="s">
        <v>23</v>
      </c>
      <c r="L1" t="s">
        <v>18</v>
      </c>
      <c r="M1" s="1" t="s">
        <v>19</v>
      </c>
      <c r="N1" s="1" t="s">
        <v>20</v>
      </c>
      <c r="O1" s="8" t="s">
        <v>21</v>
      </c>
      <c r="P1" s="1" t="s">
        <v>22</v>
      </c>
      <c r="Q1" s="1" t="s">
        <v>80</v>
      </c>
      <c r="R1" t="s">
        <v>24</v>
      </c>
      <c r="S1" t="s">
        <v>25</v>
      </c>
      <c r="T1" t="s">
        <v>35</v>
      </c>
      <c r="U1" t="s">
        <v>81</v>
      </c>
      <c r="V1" t="s">
        <v>83</v>
      </c>
    </row>
    <row r="2" spans="1:22" ht="12.75" customHeight="1" x14ac:dyDescent="0.25">
      <c r="A2" t="s">
        <v>7</v>
      </c>
      <c r="B2" s="3">
        <v>45259</v>
      </c>
      <c r="C2">
        <v>51</v>
      </c>
      <c r="D2" t="s">
        <v>94</v>
      </c>
      <c r="E2" t="s">
        <v>91</v>
      </c>
      <c r="F2">
        <v>34.950000000000003</v>
      </c>
      <c r="G2" t="s">
        <v>46</v>
      </c>
      <c r="H2" t="s">
        <v>85</v>
      </c>
      <c r="I2" t="s">
        <v>12</v>
      </c>
      <c r="J2" t="s">
        <v>68</v>
      </c>
      <c r="N2" s="1" t="str" cm="1">
        <f t="array" ref="N2">_xlfn.IFS(L2="Poshmark",IF(M2&gt;=15,M2*0.2,2.95),L2="Mercari",((M2*0.129)+0.5),L2="","",L2="Damaged","",L2="eBay","")</f>
        <v/>
      </c>
      <c r="P2" s="1" t="str">
        <f t="shared" ref="P2:P27" si="0">IF(M2&gt;0,SUM(M2-N2-O2),"")</f>
        <v/>
      </c>
      <c r="Q2" s="1" t="str">
        <f>IF(M2&gt;0,P2-#REF!,"")</f>
        <v/>
      </c>
      <c r="R2">
        <f t="shared" ref="R2:R28" ca="1" si="1">_xlfn.NUMBERVALUE(IF(ISNUMBER(B2),IF(K2="",TODAY()-B2,K2-B2),""))</f>
        <v>8</v>
      </c>
      <c r="S2" t="str">
        <f t="shared" ref="S2:S27" si="2">IF(K2="","",_xlfn.CONCAT(YEAR(K2),MONTH(K2)))</f>
        <v/>
      </c>
      <c r="T2" t="str">
        <f t="shared" ref="T2:T28" si="3">IFERROR(IF(B2="","",_xlfn.CONCAT(YEAR(B2),MONTH(B2))),"")</f>
        <v>202311</v>
      </c>
      <c r="U2" t="str">
        <f t="shared" ref="U2:U27" si="4">LEFT(S2,4)</f>
        <v/>
      </c>
      <c r="V2" t="str">
        <f t="shared" ref="V2:V27" si="5">IF(ISBLANK(B2),"",TEXT(B2,"dddd"))</f>
        <v>Wednesday</v>
      </c>
    </row>
    <row r="3" spans="1:22" ht="12.75" customHeight="1" x14ac:dyDescent="0.25">
      <c r="A3" t="s">
        <v>7</v>
      </c>
      <c r="B3" s="3">
        <v>45259</v>
      </c>
      <c r="C3">
        <v>51</v>
      </c>
      <c r="D3" t="s">
        <v>95</v>
      </c>
      <c r="E3" t="s">
        <v>92</v>
      </c>
      <c r="F3">
        <v>29.95</v>
      </c>
      <c r="G3" t="s">
        <v>46</v>
      </c>
      <c r="H3" t="s">
        <v>6</v>
      </c>
      <c r="I3" t="s">
        <v>5</v>
      </c>
      <c r="J3" t="s">
        <v>68</v>
      </c>
      <c r="N3" s="1" t="str" cm="1">
        <f t="array" ref="N3">_xlfn.IFS(L3="Poshmark",IF(M3&gt;=15,M3*0.2,2.95),L3="Mercari",((M3*0.129)+0.5),L3="","",L3="Damaged","",L3="eBay","")</f>
        <v/>
      </c>
      <c r="P3" s="1" t="str">
        <f t="shared" si="0"/>
        <v/>
      </c>
      <c r="Q3" s="1" t="str">
        <f>IF(M3&gt;0,P3-#REF!,"")</f>
        <v/>
      </c>
      <c r="R3">
        <f t="shared" ca="1" si="1"/>
        <v>8</v>
      </c>
      <c r="S3" t="str">
        <f t="shared" si="2"/>
        <v/>
      </c>
      <c r="T3" t="str">
        <f t="shared" si="3"/>
        <v>202311</v>
      </c>
      <c r="U3" t="str">
        <f t="shared" si="4"/>
        <v/>
      </c>
      <c r="V3" t="str">
        <f t="shared" si="5"/>
        <v>Wednesday</v>
      </c>
    </row>
    <row r="4" spans="1:22" ht="12.75" customHeight="1" x14ac:dyDescent="0.25">
      <c r="A4" t="s">
        <v>7</v>
      </c>
      <c r="B4" s="3">
        <v>45259</v>
      </c>
      <c r="C4">
        <v>51</v>
      </c>
      <c r="D4" t="s">
        <v>96</v>
      </c>
      <c r="E4" t="s">
        <v>93</v>
      </c>
      <c r="F4">
        <v>29.95</v>
      </c>
      <c r="G4" t="s">
        <v>46</v>
      </c>
      <c r="H4" t="s">
        <v>77</v>
      </c>
      <c r="I4" t="s">
        <v>12</v>
      </c>
      <c r="J4" t="s">
        <v>68</v>
      </c>
      <c r="N4" s="1" t="str" cm="1">
        <f t="array" ref="N4">_xlfn.IFS(L4="Poshmark",IF(M4&gt;=15,M4*0.2,2.95),L4="Mercari",((M4*0.129)+0.5),L4="","",L4="Damaged","",L4="eBay","")</f>
        <v/>
      </c>
      <c r="P4" s="1" t="str">
        <f t="shared" si="0"/>
        <v/>
      </c>
      <c r="Q4" s="1" t="str">
        <f>IF(M4&gt;0,P4-#REF!,"")</f>
        <v/>
      </c>
      <c r="R4">
        <f t="shared" ca="1" si="1"/>
        <v>8</v>
      </c>
      <c r="S4" t="str">
        <f t="shared" si="2"/>
        <v/>
      </c>
      <c r="T4" t="str">
        <f t="shared" si="3"/>
        <v>202311</v>
      </c>
      <c r="U4" t="str">
        <f t="shared" si="4"/>
        <v/>
      </c>
      <c r="V4" t="str">
        <f t="shared" si="5"/>
        <v>Wednesday</v>
      </c>
    </row>
    <row r="5" spans="1:22" ht="12.75" customHeight="1" x14ac:dyDescent="0.25">
      <c r="A5" t="s">
        <v>7</v>
      </c>
      <c r="B5" s="3">
        <v>45259</v>
      </c>
      <c r="C5">
        <v>51</v>
      </c>
      <c r="D5" t="s">
        <v>103</v>
      </c>
      <c r="E5" t="s">
        <v>97</v>
      </c>
      <c r="F5">
        <v>34.950000000000003</v>
      </c>
      <c r="G5" t="s">
        <v>46</v>
      </c>
      <c r="H5" t="s">
        <v>50</v>
      </c>
      <c r="I5" t="s">
        <v>86</v>
      </c>
      <c r="J5" t="s">
        <v>68</v>
      </c>
      <c r="N5" s="1" t="str" cm="1">
        <f t="array" ref="N5">_xlfn.IFS(L5="Poshmark",IF(M5&gt;=15,M5*0.2,2.95),L5="Mercari",((M5*0.129)+0.5),L5="","",L5="Damaged","",L5="eBay","")</f>
        <v/>
      </c>
      <c r="P5" s="1" t="str">
        <f t="shared" si="0"/>
        <v/>
      </c>
      <c r="Q5" s="1" t="str">
        <f>IF(M5&gt;0,P5-#REF!,"")</f>
        <v/>
      </c>
      <c r="R5">
        <f t="shared" ca="1" si="1"/>
        <v>8</v>
      </c>
      <c r="S5" t="str">
        <f t="shared" si="2"/>
        <v/>
      </c>
      <c r="T5" t="str">
        <f t="shared" si="3"/>
        <v>202311</v>
      </c>
      <c r="U5" t="str">
        <f t="shared" si="4"/>
        <v/>
      </c>
      <c r="V5" t="str">
        <f t="shared" si="5"/>
        <v>Wednesday</v>
      </c>
    </row>
    <row r="6" spans="1:22" ht="12.75" customHeight="1" x14ac:dyDescent="0.25">
      <c r="A6" t="s">
        <v>7</v>
      </c>
      <c r="B6" s="3">
        <v>45259</v>
      </c>
      <c r="C6">
        <v>51</v>
      </c>
      <c r="D6" t="s">
        <v>104</v>
      </c>
      <c r="E6" t="s">
        <v>98</v>
      </c>
      <c r="F6">
        <v>34.950000000000003</v>
      </c>
      <c r="G6" t="s">
        <v>47</v>
      </c>
      <c r="H6" t="s">
        <v>87</v>
      </c>
      <c r="I6" t="s">
        <v>84</v>
      </c>
      <c r="J6" t="s">
        <v>68</v>
      </c>
      <c r="N6" s="1" t="str" cm="1">
        <f t="array" ref="N6">_xlfn.IFS(L6="Poshmark",IF(M6&gt;=15,M6*0.2,2.95),L6="Mercari",((M6*0.129)+0.5),L6="","",L6="Damaged","",L6="eBay","")</f>
        <v/>
      </c>
      <c r="P6" s="1" t="str">
        <f t="shared" si="0"/>
        <v/>
      </c>
      <c r="Q6" s="1" t="str">
        <f>IF(M6&gt;0,P6-#REF!,"")</f>
        <v/>
      </c>
      <c r="R6">
        <f t="shared" ca="1" si="1"/>
        <v>8</v>
      </c>
      <c r="S6" t="str">
        <f t="shared" si="2"/>
        <v/>
      </c>
      <c r="T6" t="str">
        <f t="shared" si="3"/>
        <v>202311</v>
      </c>
      <c r="U6" t="str">
        <f t="shared" si="4"/>
        <v/>
      </c>
      <c r="V6" t="str">
        <f t="shared" si="5"/>
        <v>Wednesday</v>
      </c>
    </row>
    <row r="7" spans="1:22" ht="12.75" customHeight="1" x14ac:dyDescent="0.25">
      <c r="A7" t="s">
        <v>7</v>
      </c>
      <c r="B7" s="3">
        <v>45259</v>
      </c>
      <c r="C7">
        <v>51</v>
      </c>
      <c r="D7" t="s">
        <v>105</v>
      </c>
      <c r="E7" t="s">
        <v>99</v>
      </c>
      <c r="F7">
        <v>24.95</v>
      </c>
      <c r="G7" t="s">
        <v>47</v>
      </c>
      <c r="H7" t="s">
        <v>49</v>
      </c>
      <c r="I7" t="s">
        <v>10</v>
      </c>
      <c r="J7" t="s">
        <v>68</v>
      </c>
      <c r="N7" s="1" t="str" cm="1">
        <f t="array" ref="N7">_xlfn.IFS(L7="Poshmark",IF(M7&gt;=15,M7*0.2,2.95),L7="Mercari",((M7*0.129)+0.5),L7="","",L7="Damaged","",L7="eBay","")</f>
        <v/>
      </c>
      <c r="P7" s="1" t="str">
        <f t="shared" si="0"/>
        <v/>
      </c>
      <c r="Q7" s="1" t="str">
        <f>IF(M7&gt;0,P7-#REF!,"")</f>
        <v/>
      </c>
      <c r="R7">
        <f t="shared" ca="1" si="1"/>
        <v>8</v>
      </c>
      <c r="S7" t="str">
        <f t="shared" si="2"/>
        <v/>
      </c>
      <c r="T7" t="str">
        <f t="shared" si="3"/>
        <v>202311</v>
      </c>
      <c r="U7" t="str">
        <f t="shared" si="4"/>
        <v/>
      </c>
      <c r="V7" t="str">
        <f t="shared" si="5"/>
        <v>Wednesday</v>
      </c>
    </row>
    <row r="8" spans="1:22" ht="12.75" customHeight="1" x14ac:dyDescent="0.25">
      <c r="A8" t="s">
        <v>7</v>
      </c>
      <c r="B8" s="3">
        <v>45259</v>
      </c>
      <c r="C8">
        <v>51</v>
      </c>
      <c r="D8" t="s">
        <v>106</v>
      </c>
      <c r="E8" t="s">
        <v>101</v>
      </c>
      <c r="F8">
        <v>19.95</v>
      </c>
      <c r="G8" t="s">
        <v>100</v>
      </c>
      <c r="H8" t="s">
        <v>51</v>
      </c>
      <c r="I8" t="s">
        <v>10</v>
      </c>
      <c r="J8" t="s">
        <v>68</v>
      </c>
      <c r="N8" s="1" t="str" cm="1">
        <f t="array" ref="N8">_xlfn.IFS(L8="Poshmark",IF(M8&gt;=15,M8*0.2,2.95),L8="Mercari",((M8*0.129)+0.5),L8="","",L8="Damaged","",L8="eBay","")</f>
        <v/>
      </c>
      <c r="P8" s="1" t="str">
        <f t="shared" si="0"/>
        <v/>
      </c>
      <c r="Q8" s="1" t="str">
        <f>IF(M8&gt;0,P8-#REF!,"")</f>
        <v/>
      </c>
      <c r="R8">
        <f t="shared" ca="1" si="1"/>
        <v>8</v>
      </c>
      <c r="S8" t="str">
        <f t="shared" si="2"/>
        <v/>
      </c>
      <c r="T8" t="str">
        <f t="shared" si="3"/>
        <v>202311</v>
      </c>
      <c r="U8" t="str">
        <f t="shared" si="4"/>
        <v/>
      </c>
      <c r="V8" t="str">
        <f t="shared" si="5"/>
        <v>Wednesday</v>
      </c>
    </row>
    <row r="9" spans="1:22" ht="12.75" customHeight="1" x14ac:dyDescent="0.25">
      <c r="A9" t="s">
        <v>7</v>
      </c>
      <c r="B9" s="3">
        <v>45259</v>
      </c>
      <c r="C9">
        <v>51</v>
      </c>
      <c r="D9" t="s">
        <v>107</v>
      </c>
      <c r="E9" t="s">
        <v>102</v>
      </c>
      <c r="F9">
        <v>44.95</v>
      </c>
      <c r="G9" t="s">
        <v>71</v>
      </c>
      <c r="H9" t="s">
        <v>54</v>
      </c>
      <c r="I9" t="s">
        <v>10</v>
      </c>
      <c r="J9" t="s">
        <v>68</v>
      </c>
      <c r="N9" s="1" t="str" cm="1">
        <f t="array" ref="N9">_xlfn.IFS(L9="Poshmark",IF(M9&gt;=15,M9*0.2,2.95),L9="Mercari",((M9*0.129)+0.5),L9="","",L9="Damaged","",L9="eBay","")</f>
        <v/>
      </c>
      <c r="P9" s="1" t="str">
        <f t="shared" si="0"/>
        <v/>
      </c>
      <c r="Q9" s="1" t="str">
        <f>IF(M9&gt;0,P9-#REF!,"")</f>
        <v/>
      </c>
      <c r="R9">
        <f t="shared" ca="1" si="1"/>
        <v>8</v>
      </c>
      <c r="S9" t="str">
        <f t="shared" si="2"/>
        <v/>
      </c>
      <c r="T9" t="str">
        <f t="shared" si="3"/>
        <v>202311</v>
      </c>
      <c r="U9" t="str">
        <f t="shared" si="4"/>
        <v/>
      </c>
      <c r="V9" t="str">
        <f t="shared" si="5"/>
        <v>Wednesday</v>
      </c>
    </row>
    <row r="10" spans="1:22" ht="12.75" customHeight="1" x14ac:dyDescent="0.25">
      <c r="A10" t="s">
        <v>7</v>
      </c>
      <c r="B10" s="3">
        <v>45259</v>
      </c>
      <c r="C10">
        <v>51</v>
      </c>
      <c r="D10" t="s">
        <v>114</v>
      </c>
      <c r="E10" t="s">
        <v>108</v>
      </c>
      <c r="F10">
        <v>24.95</v>
      </c>
      <c r="G10" t="s">
        <v>43</v>
      </c>
      <c r="H10" t="s">
        <v>6</v>
      </c>
      <c r="I10" t="s">
        <v>15</v>
      </c>
      <c r="J10" t="s">
        <v>68</v>
      </c>
      <c r="N10" s="1" t="str" cm="1">
        <f t="array" ref="N10">_xlfn.IFS(L10="Poshmark",IF(M10&gt;=15,M10*0.2,2.95),L10="Mercari",((M10*0.129)+0.5),L10="","",L10="Damaged","",L10="eBay","")</f>
        <v/>
      </c>
      <c r="P10" s="1" t="str">
        <f t="shared" si="0"/>
        <v/>
      </c>
      <c r="Q10" s="1" t="str">
        <f>IF(M10&gt;0,P10-#REF!,"")</f>
        <v/>
      </c>
      <c r="R10">
        <f t="shared" ca="1" si="1"/>
        <v>8</v>
      </c>
      <c r="S10" t="str">
        <f t="shared" si="2"/>
        <v/>
      </c>
      <c r="T10" t="str">
        <f t="shared" si="3"/>
        <v>202311</v>
      </c>
      <c r="U10" t="str">
        <f t="shared" si="4"/>
        <v/>
      </c>
      <c r="V10" t="str">
        <f t="shared" si="5"/>
        <v>Wednesday</v>
      </c>
    </row>
    <row r="11" spans="1:22" ht="12.75" customHeight="1" x14ac:dyDescent="0.25">
      <c r="A11" t="s">
        <v>7</v>
      </c>
      <c r="B11" s="3">
        <v>45259</v>
      </c>
      <c r="C11">
        <v>51</v>
      </c>
      <c r="D11" t="s">
        <v>115</v>
      </c>
      <c r="E11" t="s">
        <v>109</v>
      </c>
      <c r="F11">
        <v>59.95</v>
      </c>
      <c r="G11" t="s">
        <v>71</v>
      </c>
      <c r="H11" t="s">
        <v>6</v>
      </c>
      <c r="I11" t="s">
        <v>12</v>
      </c>
      <c r="J11" t="s">
        <v>68</v>
      </c>
      <c r="N11" s="1" t="str" cm="1">
        <f t="array" ref="N11">_xlfn.IFS(L11="Poshmark",IF(M11&gt;=15,M11*0.2,2.95),L11="Mercari",((M11*0.129)+0.5),L11="","",L11="Damaged","",L11="eBay","")</f>
        <v/>
      </c>
      <c r="P11" s="1" t="str">
        <f t="shared" si="0"/>
        <v/>
      </c>
      <c r="Q11" s="1" t="str">
        <f>IF(M11&gt;0,P11-#REF!,"")</f>
        <v/>
      </c>
      <c r="R11">
        <f t="shared" ca="1" si="1"/>
        <v>8</v>
      </c>
      <c r="S11" t="str">
        <f t="shared" si="2"/>
        <v/>
      </c>
      <c r="T11" t="str">
        <f t="shared" si="3"/>
        <v>202311</v>
      </c>
      <c r="U11" t="str">
        <f t="shared" si="4"/>
        <v/>
      </c>
      <c r="V11" t="str">
        <f t="shared" si="5"/>
        <v>Wednesday</v>
      </c>
    </row>
    <row r="12" spans="1:22" ht="12.75" customHeight="1" x14ac:dyDescent="0.25">
      <c r="A12" t="s">
        <v>7</v>
      </c>
      <c r="B12" s="3">
        <v>45259</v>
      </c>
      <c r="C12">
        <v>51</v>
      </c>
      <c r="D12" t="s">
        <v>116</v>
      </c>
      <c r="E12" t="s">
        <v>110</v>
      </c>
      <c r="F12">
        <v>44.95</v>
      </c>
      <c r="G12" t="s">
        <v>89</v>
      </c>
      <c r="H12" t="s">
        <v>73</v>
      </c>
      <c r="I12" t="s">
        <v>12</v>
      </c>
      <c r="J12" t="s">
        <v>68</v>
      </c>
      <c r="N12" s="1" t="str" cm="1">
        <f t="array" ref="N12">_xlfn.IFS(L12="Poshmark",IF(M12&gt;=15,M12*0.2,2.95),L12="Mercari",((M12*0.129)+0.5),L12="","",L12="Damaged","",L12="eBay","")</f>
        <v/>
      </c>
      <c r="P12" s="1" t="str">
        <f t="shared" si="0"/>
        <v/>
      </c>
      <c r="Q12" s="1" t="str">
        <f>IF(M12&gt;0,P12-#REF!,"")</f>
        <v/>
      </c>
      <c r="R12">
        <f t="shared" ca="1" si="1"/>
        <v>8</v>
      </c>
      <c r="S12" t="str">
        <f t="shared" si="2"/>
        <v/>
      </c>
      <c r="T12" t="str">
        <f t="shared" si="3"/>
        <v>202311</v>
      </c>
      <c r="U12" t="str">
        <f t="shared" si="4"/>
        <v/>
      </c>
      <c r="V12" t="str">
        <f t="shared" si="5"/>
        <v>Wednesday</v>
      </c>
    </row>
    <row r="13" spans="1:22" ht="12.75" customHeight="1" x14ac:dyDescent="0.25">
      <c r="A13" t="s">
        <v>7</v>
      </c>
      <c r="B13" s="3">
        <v>45259</v>
      </c>
      <c r="C13">
        <v>51</v>
      </c>
      <c r="D13" t="s">
        <v>117</v>
      </c>
      <c r="E13" t="s">
        <v>111</v>
      </c>
      <c r="F13">
        <v>39.950000000000003</v>
      </c>
      <c r="G13" t="s">
        <v>8</v>
      </c>
      <c r="H13" t="s">
        <v>70</v>
      </c>
      <c r="I13" t="s">
        <v>10</v>
      </c>
      <c r="J13" t="s">
        <v>68</v>
      </c>
      <c r="N13" s="1" t="str" cm="1">
        <f t="array" ref="N13">_xlfn.IFS(L13="Poshmark",IF(M13&gt;=15,M13*0.2,2.95),L13="Mercari",((M13*0.129)+0.5),L13="","",L13="Damaged","",L13="eBay","")</f>
        <v/>
      </c>
      <c r="P13" s="1" t="str">
        <f t="shared" si="0"/>
        <v/>
      </c>
      <c r="Q13" s="1" t="str">
        <f>IF(M13&gt;0,P13-#REF!,"")</f>
        <v/>
      </c>
      <c r="R13">
        <f t="shared" ca="1" si="1"/>
        <v>8</v>
      </c>
      <c r="S13" t="str">
        <f t="shared" si="2"/>
        <v/>
      </c>
      <c r="T13" t="str">
        <f t="shared" si="3"/>
        <v>202311</v>
      </c>
      <c r="U13" t="str">
        <f t="shared" si="4"/>
        <v/>
      </c>
      <c r="V13" t="str">
        <f t="shared" si="5"/>
        <v>Wednesday</v>
      </c>
    </row>
    <row r="14" spans="1:22" ht="12.75" customHeight="1" x14ac:dyDescent="0.25">
      <c r="A14" t="s">
        <v>7</v>
      </c>
      <c r="B14" s="3">
        <v>45259</v>
      </c>
      <c r="C14">
        <v>51</v>
      </c>
      <c r="D14" t="s">
        <v>118</v>
      </c>
      <c r="E14" t="s">
        <v>112</v>
      </c>
      <c r="F14">
        <v>34.950000000000003</v>
      </c>
      <c r="G14" t="s">
        <v>78</v>
      </c>
      <c r="H14" t="s">
        <v>49</v>
      </c>
      <c r="I14" t="s">
        <v>113</v>
      </c>
      <c r="J14" t="s">
        <v>68</v>
      </c>
      <c r="N14" s="1" t="str" cm="1">
        <f t="array" ref="N14">_xlfn.IFS(L14="Poshmark",IF(M14&gt;=15,M14*0.2,2.95),L14="Mercari",((M14*0.129)+0.5),L14="","",L14="Damaged","",L14="eBay","")</f>
        <v/>
      </c>
      <c r="P14" s="1" t="str">
        <f t="shared" si="0"/>
        <v/>
      </c>
      <c r="Q14" s="1" t="str">
        <f>IF(M14&gt;0,P14-#REF!,"")</f>
        <v/>
      </c>
      <c r="R14">
        <f t="shared" ca="1" si="1"/>
        <v>8</v>
      </c>
      <c r="S14" t="str">
        <f t="shared" si="2"/>
        <v/>
      </c>
      <c r="T14" t="str">
        <f t="shared" si="3"/>
        <v>202311</v>
      </c>
      <c r="U14" t="str">
        <f t="shared" si="4"/>
        <v/>
      </c>
      <c r="V14" t="str">
        <f t="shared" si="5"/>
        <v>Wednesday</v>
      </c>
    </row>
    <row r="15" spans="1:22" ht="12.75" customHeight="1" x14ac:dyDescent="0.25">
      <c r="A15">
        <v>1</v>
      </c>
      <c r="C15">
        <v>52</v>
      </c>
      <c r="D15" t="s">
        <v>119</v>
      </c>
      <c r="E15" t="s">
        <v>133</v>
      </c>
      <c r="F15">
        <v>29.95</v>
      </c>
      <c r="G15" t="s">
        <v>82</v>
      </c>
      <c r="H15" t="s">
        <v>70</v>
      </c>
      <c r="I15" t="s">
        <v>16</v>
      </c>
      <c r="J15" t="s">
        <v>68</v>
      </c>
      <c r="N15" s="1" t="str" cm="1">
        <f t="array" ref="N15">_xlfn.IFS(L15="Poshmark",IF(M15&gt;=15,M15*0.2,2.95),L15="Mercari",((M15*0.129)+0.5),L15="","",L15="Damaged","",L15="eBay","")</f>
        <v/>
      </c>
      <c r="P15" s="1" t="str">
        <f t="shared" si="0"/>
        <v/>
      </c>
      <c r="Q15" s="1" t="str">
        <f>IF(M15&gt;0,P15-#REF!,"")</f>
        <v/>
      </c>
      <c r="R15">
        <f t="shared" ca="1" si="1"/>
        <v>0</v>
      </c>
      <c r="S15" t="str">
        <f t="shared" si="2"/>
        <v/>
      </c>
      <c r="T15" t="str">
        <f t="shared" si="3"/>
        <v/>
      </c>
      <c r="U15" t="str">
        <f t="shared" si="4"/>
        <v/>
      </c>
      <c r="V15" t="str">
        <f t="shared" si="5"/>
        <v/>
      </c>
    </row>
    <row r="16" spans="1:22" ht="12.75" customHeight="1" x14ac:dyDescent="0.25">
      <c r="A16">
        <v>1</v>
      </c>
      <c r="C16">
        <v>52</v>
      </c>
      <c r="D16" t="s">
        <v>120</v>
      </c>
      <c r="E16" t="s">
        <v>134</v>
      </c>
      <c r="F16">
        <v>34.950000000000003</v>
      </c>
      <c r="G16" t="s">
        <v>46</v>
      </c>
      <c r="H16" t="s">
        <v>88</v>
      </c>
      <c r="I16" t="s">
        <v>13</v>
      </c>
      <c r="J16" t="s">
        <v>68</v>
      </c>
      <c r="N16" s="1" t="str" cm="1">
        <f t="array" ref="N16">_xlfn.IFS(L16="Poshmark",IF(M16&gt;=15,M16*0.2,2.95),L16="Mercari",((M16*0.129)+0.5),L16="","",L16="Damaged","",L16="eBay","")</f>
        <v/>
      </c>
      <c r="P16" s="1" t="str">
        <f t="shared" si="0"/>
        <v/>
      </c>
      <c r="Q16" s="1" t="str">
        <f>IF(M16&gt;0,P16-#REF!,"")</f>
        <v/>
      </c>
      <c r="R16">
        <f t="shared" ca="1" si="1"/>
        <v>0</v>
      </c>
      <c r="S16" t="str">
        <f t="shared" si="2"/>
        <v/>
      </c>
      <c r="T16" t="str">
        <f t="shared" si="3"/>
        <v/>
      </c>
      <c r="U16" t="str">
        <f t="shared" si="4"/>
        <v/>
      </c>
      <c r="V16" t="str">
        <f t="shared" si="5"/>
        <v/>
      </c>
    </row>
    <row r="17" spans="1:22" ht="12.75" customHeight="1" x14ac:dyDescent="0.25">
      <c r="A17">
        <v>1</v>
      </c>
      <c r="C17">
        <v>52</v>
      </c>
      <c r="D17" t="s">
        <v>121</v>
      </c>
      <c r="E17" t="s">
        <v>135</v>
      </c>
      <c r="F17">
        <v>24.95</v>
      </c>
      <c r="G17" t="s">
        <v>90</v>
      </c>
      <c r="H17" t="s">
        <v>88</v>
      </c>
      <c r="I17" t="s">
        <v>15</v>
      </c>
      <c r="J17" t="s">
        <v>68</v>
      </c>
      <c r="N17" s="1" t="str" cm="1">
        <f t="array" ref="N17">_xlfn.IFS(L17="Poshmark",IF(M17&gt;=15,M17*0.2,2.95),L17="Mercari",((M17*0.129)+0.5),L17="","",L17="Damaged","",L17="eBay","")</f>
        <v/>
      </c>
      <c r="P17" s="1" t="str">
        <f t="shared" si="0"/>
        <v/>
      </c>
      <c r="Q17" s="1" t="str">
        <f>IF(M17&gt;0,P17-#REF!,"")</f>
        <v/>
      </c>
      <c r="R17">
        <f t="shared" ca="1" si="1"/>
        <v>0</v>
      </c>
      <c r="S17" t="str">
        <f t="shared" si="2"/>
        <v/>
      </c>
      <c r="T17" t="str">
        <f t="shared" si="3"/>
        <v/>
      </c>
      <c r="U17" t="str">
        <f t="shared" si="4"/>
        <v/>
      </c>
      <c r="V17" t="str">
        <f t="shared" si="5"/>
        <v/>
      </c>
    </row>
    <row r="18" spans="1:22" ht="12.75" customHeight="1" x14ac:dyDescent="0.25">
      <c r="A18">
        <v>1</v>
      </c>
      <c r="C18">
        <v>52</v>
      </c>
      <c r="D18" t="s">
        <v>122</v>
      </c>
      <c r="E18" t="s">
        <v>136</v>
      </c>
      <c r="F18">
        <v>24.95</v>
      </c>
      <c r="G18" t="s">
        <v>46</v>
      </c>
      <c r="H18" t="s">
        <v>74</v>
      </c>
      <c r="I18" t="s">
        <v>12</v>
      </c>
      <c r="J18" t="s">
        <v>68</v>
      </c>
      <c r="N18" s="1" t="str" cm="1">
        <f t="array" ref="N18">_xlfn.IFS(L18="Poshmark",IF(M18&gt;=15,M18*0.2,2.95),L18="Mercari",((M18*0.129)+0.5),L18="","",L18="Damaged","",L18="eBay","")</f>
        <v/>
      </c>
      <c r="P18" s="1" t="str">
        <f t="shared" si="0"/>
        <v/>
      </c>
      <c r="Q18" s="1" t="str">
        <f>IF(M18&gt;0,P18-#REF!,"")</f>
        <v/>
      </c>
      <c r="R18">
        <f t="shared" ca="1" si="1"/>
        <v>0</v>
      </c>
      <c r="S18" t="str">
        <f t="shared" si="2"/>
        <v/>
      </c>
      <c r="T18" t="str">
        <f t="shared" si="3"/>
        <v/>
      </c>
      <c r="U18" t="str">
        <f t="shared" si="4"/>
        <v/>
      </c>
      <c r="V18" t="str">
        <f t="shared" si="5"/>
        <v/>
      </c>
    </row>
    <row r="19" spans="1:22" ht="12.75" customHeight="1" x14ac:dyDescent="0.25">
      <c r="A19">
        <v>1</v>
      </c>
      <c r="C19">
        <v>52</v>
      </c>
      <c r="D19" t="s">
        <v>123</v>
      </c>
      <c r="E19" t="s">
        <v>137</v>
      </c>
      <c r="F19">
        <v>24.95</v>
      </c>
      <c r="G19" t="s">
        <v>90</v>
      </c>
      <c r="H19" t="s">
        <v>69</v>
      </c>
      <c r="I19" t="s">
        <v>5</v>
      </c>
      <c r="J19" t="s">
        <v>68</v>
      </c>
      <c r="N19" s="1" t="str" cm="1">
        <f t="array" ref="N19">_xlfn.IFS(L19="Poshmark",IF(M19&gt;=15,M19*0.2,2.95),L19="Mercari",((M19*0.129)+0.5),L19="","",L19="Damaged","",L19="eBay","")</f>
        <v/>
      </c>
      <c r="P19" s="1" t="str">
        <f t="shared" si="0"/>
        <v/>
      </c>
      <c r="Q19" s="1" t="str">
        <f>IF(M19&gt;0,P19-#REF!,"")</f>
        <v/>
      </c>
      <c r="R19">
        <f t="shared" ca="1" si="1"/>
        <v>0</v>
      </c>
      <c r="S19" t="str">
        <f t="shared" si="2"/>
        <v/>
      </c>
      <c r="T19" t="str">
        <f t="shared" si="3"/>
        <v/>
      </c>
      <c r="U19" t="str">
        <f t="shared" si="4"/>
        <v/>
      </c>
      <c r="V19" t="str">
        <f t="shared" si="5"/>
        <v/>
      </c>
    </row>
    <row r="20" spans="1:22" ht="12.75" customHeight="1" x14ac:dyDescent="0.25">
      <c r="A20">
        <v>1</v>
      </c>
      <c r="C20">
        <v>52</v>
      </c>
      <c r="D20" t="s">
        <v>124</v>
      </c>
      <c r="E20" t="s">
        <v>138</v>
      </c>
      <c r="F20">
        <v>24.95</v>
      </c>
      <c r="G20" t="s">
        <v>55</v>
      </c>
      <c r="H20" t="s">
        <v>139</v>
      </c>
      <c r="I20" t="s">
        <v>5</v>
      </c>
      <c r="J20" t="s">
        <v>68</v>
      </c>
      <c r="N20" s="1" t="str" cm="1">
        <f t="array" ref="N20">_xlfn.IFS(L20="Poshmark",IF(M20&gt;=15,M20*0.2,2.95),L20="Mercari",((M20*0.129)+0.5),L20="","",L20="Damaged","",L20="eBay","")</f>
        <v/>
      </c>
      <c r="P20" s="1" t="str">
        <f t="shared" si="0"/>
        <v/>
      </c>
      <c r="Q20" s="1" t="str">
        <f>IF(M20&gt;0,P20-#REF!,"")</f>
        <v/>
      </c>
      <c r="R20">
        <f t="shared" ca="1" si="1"/>
        <v>0</v>
      </c>
      <c r="S20" t="str">
        <f t="shared" si="2"/>
        <v/>
      </c>
      <c r="T20" t="str">
        <f t="shared" si="3"/>
        <v/>
      </c>
      <c r="U20" t="str">
        <f t="shared" si="4"/>
        <v/>
      </c>
      <c r="V20" t="str">
        <f t="shared" si="5"/>
        <v/>
      </c>
    </row>
    <row r="21" spans="1:22" ht="12.75" customHeight="1" x14ac:dyDescent="0.25">
      <c r="A21">
        <v>1</v>
      </c>
      <c r="C21">
        <v>52</v>
      </c>
      <c r="D21" t="s">
        <v>125</v>
      </c>
      <c r="E21" t="s">
        <v>140</v>
      </c>
      <c r="F21">
        <v>49.95</v>
      </c>
      <c r="G21" t="s">
        <v>47</v>
      </c>
      <c r="H21" t="s">
        <v>53</v>
      </c>
      <c r="I21" t="s">
        <v>11</v>
      </c>
      <c r="J21" t="s">
        <v>68</v>
      </c>
      <c r="N21" s="1" t="str" cm="1">
        <f t="array" ref="N21">_xlfn.IFS(L21="Poshmark",IF(M21&gt;=15,M21*0.2,2.95),L21="Mercari",((M21*0.129)+0.5),L21="","",L21="Damaged","",L21="eBay","")</f>
        <v/>
      </c>
      <c r="P21" s="1" t="str">
        <f t="shared" si="0"/>
        <v/>
      </c>
      <c r="Q21" s="1" t="str">
        <f>IF(M21&gt;0,P21-#REF!,"")</f>
        <v/>
      </c>
      <c r="R21">
        <f t="shared" ca="1" si="1"/>
        <v>0</v>
      </c>
      <c r="S21" t="str">
        <f t="shared" si="2"/>
        <v/>
      </c>
      <c r="T21" t="str">
        <f t="shared" si="3"/>
        <v/>
      </c>
      <c r="U21" t="str">
        <f t="shared" si="4"/>
        <v/>
      </c>
      <c r="V21" t="str">
        <f t="shared" si="5"/>
        <v/>
      </c>
    </row>
    <row r="22" spans="1:22" ht="12.75" customHeight="1" x14ac:dyDescent="0.25">
      <c r="A22">
        <v>1</v>
      </c>
      <c r="C22">
        <v>52</v>
      </c>
      <c r="D22" t="s">
        <v>126</v>
      </c>
      <c r="E22" t="s">
        <v>141</v>
      </c>
      <c r="F22">
        <v>24.95</v>
      </c>
      <c r="G22" t="s">
        <v>79</v>
      </c>
      <c r="H22" t="s">
        <v>70</v>
      </c>
      <c r="I22" t="s">
        <v>13</v>
      </c>
      <c r="J22" t="s">
        <v>68</v>
      </c>
      <c r="N22" s="1" t="str" cm="1">
        <f t="array" ref="N22">_xlfn.IFS(L22="Poshmark",IF(M22&gt;=15,M22*0.2,2.95),L22="Mercari",((M22*0.129)+0.5),L22="","",L22="Damaged","",L22="eBay","")</f>
        <v/>
      </c>
      <c r="P22" s="1" t="str">
        <f t="shared" si="0"/>
        <v/>
      </c>
      <c r="Q22" s="1" t="str">
        <f>IF(M22&gt;0,P22-#REF!,"")</f>
        <v/>
      </c>
      <c r="R22">
        <f t="shared" ca="1" si="1"/>
        <v>0</v>
      </c>
      <c r="S22" t="str">
        <f t="shared" si="2"/>
        <v/>
      </c>
      <c r="T22" t="str">
        <f t="shared" si="3"/>
        <v/>
      </c>
      <c r="U22" t="str">
        <f t="shared" si="4"/>
        <v/>
      </c>
      <c r="V22" t="str">
        <f t="shared" si="5"/>
        <v/>
      </c>
    </row>
    <row r="23" spans="1:22" ht="12.75" customHeight="1" x14ac:dyDescent="0.25">
      <c r="A23">
        <v>1</v>
      </c>
      <c r="C23">
        <v>52</v>
      </c>
      <c r="D23" t="s">
        <v>127</v>
      </c>
      <c r="E23" t="s">
        <v>142</v>
      </c>
      <c r="F23">
        <v>28.95</v>
      </c>
      <c r="G23" t="s">
        <v>45</v>
      </c>
      <c r="H23" t="s">
        <v>76</v>
      </c>
      <c r="I23" t="s">
        <v>11</v>
      </c>
      <c r="J23" t="s">
        <v>68</v>
      </c>
      <c r="N23" s="1" t="str" cm="1">
        <f t="array" ref="N23">_xlfn.IFS(L23="Poshmark",IF(M23&gt;=15,M23*0.2,2.95),L23="Mercari",((M23*0.129)+0.5),L23="","",L23="Damaged","",L23="eBay","")</f>
        <v/>
      </c>
      <c r="P23" s="1" t="str">
        <f t="shared" si="0"/>
        <v/>
      </c>
      <c r="Q23" s="1" t="str">
        <f>IF(M23&gt;0,P23-#REF!,"")</f>
        <v/>
      </c>
      <c r="R23">
        <f t="shared" ca="1" si="1"/>
        <v>0</v>
      </c>
      <c r="S23" t="str">
        <f t="shared" si="2"/>
        <v/>
      </c>
      <c r="T23" t="str">
        <f t="shared" si="3"/>
        <v/>
      </c>
      <c r="U23" t="str">
        <f t="shared" si="4"/>
        <v/>
      </c>
      <c r="V23" t="str">
        <f t="shared" si="5"/>
        <v/>
      </c>
    </row>
    <row r="24" spans="1:22" ht="12.75" customHeight="1" x14ac:dyDescent="0.25">
      <c r="A24">
        <v>1</v>
      </c>
      <c r="C24">
        <v>52</v>
      </c>
      <c r="D24" t="s">
        <v>128</v>
      </c>
      <c r="E24" t="s">
        <v>143</v>
      </c>
      <c r="F24">
        <v>24.95</v>
      </c>
      <c r="G24" t="s">
        <v>90</v>
      </c>
      <c r="H24" t="s">
        <v>75</v>
      </c>
      <c r="I24" t="s">
        <v>14</v>
      </c>
      <c r="J24" t="s">
        <v>68</v>
      </c>
      <c r="N24" s="1" t="str" cm="1">
        <f t="array" ref="N24">_xlfn.IFS(L24="Poshmark",IF(M24&gt;=15,M24*0.2,2.95),L24="Mercari",((M24*0.129)+0.5),L24="","",L24="Damaged","",L24="eBay","")</f>
        <v/>
      </c>
      <c r="P24" s="1" t="str">
        <f t="shared" si="0"/>
        <v/>
      </c>
      <c r="Q24" s="1" t="str">
        <f>IF(M24&gt;0,P24-#REF!,"")</f>
        <v/>
      </c>
      <c r="R24">
        <f t="shared" ca="1" si="1"/>
        <v>0</v>
      </c>
      <c r="S24" t="str">
        <f t="shared" si="2"/>
        <v/>
      </c>
      <c r="T24" t="str">
        <f t="shared" si="3"/>
        <v/>
      </c>
      <c r="U24" t="str">
        <f t="shared" si="4"/>
        <v/>
      </c>
      <c r="V24" t="str">
        <f t="shared" si="5"/>
        <v/>
      </c>
    </row>
    <row r="25" spans="1:22" ht="12.75" customHeight="1" x14ac:dyDescent="0.25">
      <c r="A25">
        <v>1</v>
      </c>
      <c r="C25">
        <v>52</v>
      </c>
      <c r="D25" t="s">
        <v>129</v>
      </c>
      <c r="E25" t="s">
        <v>144</v>
      </c>
      <c r="F25">
        <v>29.95</v>
      </c>
      <c r="G25" t="s">
        <v>78</v>
      </c>
      <c r="H25" t="s">
        <v>52</v>
      </c>
      <c r="I25" t="s">
        <v>12</v>
      </c>
      <c r="J25" t="s">
        <v>68</v>
      </c>
      <c r="N25" s="1" t="str" cm="1">
        <f t="array" ref="N25">_xlfn.IFS(L25="Poshmark",IF(M25&gt;=15,M25*0.2,2.95),L25="Mercari",((M25*0.129)+0.5),L25="","",L25="Damaged","",L25="eBay","")</f>
        <v/>
      </c>
      <c r="P25" s="1" t="str">
        <f t="shared" si="0"/>
        <v/>
      </c>
      <c r="Q25" s="1" t="str">
        <f>IF(M25&gt;0,P25-#REF!,"")</f>
        <v/>
      </c>
      <c r="R25">
        <f t="shared" ca="1" si="1"/>
        <v>0</v>
      </c>
      <c r="S25" t="str">
        <f t="shared" si="2"/>
        <v/>
      </c>
      <c r="T25" t="str">
        <f t="shared" si="3"/>
        <v/>
      </c>
      <c r="U25" t="str">
        <f t="shared" si="4"/>
        <v/>
      </c>
      <c r="V25" t="str">
        <f t="shared" si="5"/>
        <v/>
      </c>
    </row>
    <row r="26" spans="1:22" ht="12.75" customHeight="1" x14ac:dyDescent="0.25">
      <c r="A26">
        <v>1</v>
      </c>
      <c r="C26">
        <v>52</v>
      </c>
      <c r="D26" t="s">
        <v>130</v>
      </c>
      <c r="E26" t="s">
        <v>145</v>
      </c>
      <c r="F26">
        <v>29.95</v>
      </c>
      <c r="G26" t="s">
        <v>48</v>
      </c>
      <c r="H26" t="s">
        <v>6</v>
      </c>
      <c r="I26" t="s">
        <v>10</v>
      </c>
      <c r="J26" t="s">
        <v>68</v>
      </c>
      <c r="N26" s="1" t="str" cm="1">
        <f t="array" ref="N26">_xlfn.IFS(L26="Poshmark",IF(M26&gt;=15,M26*0.2,2.95),L26="Mercari",((M26*0.129)+0.5),L26="","",L26="Damaged","",L26="eBay","")</f>
        <v/>
      </c>
      <c r="P26" s="1" t="str">
        <f t="shared" si="0"/>
        <v/>
      </c>
      <c r="Q26" s="1" t="str">
        <f>IF(M26&gt;0,P26-#REF!,"")</f>
        <v/>
      </c>
      <c r="R26">
        <f t="shared" ca="1" si="1"/>
        <v>0</v>
      </c>
      <c r="S26" t="str">
        <f t="shared" si="2"/>
        <v/>
      </c>
      <c r="T26" t="str">
        <f t="shared" si="3"/>
        <v/>
      </c>
      <c r="U26" t="str">
        <f t="shared" si="4"/>
        <v/>
      </c>
      <c r="V26" t="str">
        <f t="shared" si="5"/>
        <v/>
      </c>
    </row>
    <row r="27" spans="1:22" ht="12.75" customHeight="1" x14ac:dyDescent="0.25">
      <c r="A27">
        <v>1</v>
      </c>
      <c r="C27">
        <v>52</v>
      </c>
      <c r="D27" t="s">
        <v>131</v>
      </c>
      <c r="E27" t="s">
        <v>146</v>
      </c>
      <c r="F27">
        <v>24.95</v>
      </c>
      <c r="G27" t="s">
        <v>44</v>
      </c>
      <c r="H27" t="s">
        <v>50</v>
      </c>
      <c r="I27" t="s">
        <v>11</v>
      </c>
      <c r="J27" t="s">
        <v>68</v>
      </c>
      <c r="N27" s="1" t="str" cm="1">
        <f t="array" ref="N27">_xlfn.IFS(L27="Poshmark",IF(M27&gt;=15,M27*0.2,2.95),L27="Mercari",((M27*0.129)+0.5),L27="","",L27="Damaged","",L27="eBay","")</f>
        <v/>
      </c>
      <c r="P27" s="1" t="str">
        <f t="shared" si="0"/>
        <v/>
      </c>
      <c r="Q27" s="1" t="str">
        <f>IF(M27&gt;0,P27-#REF!,"")</f>
        <v/>
      </c>
      <c r="R27">
        <f t="shared" ca="1" si="1"/>
        <v>0</v>
      </c>
      <c r="S27" t="str">
        <f t="shared" si="2"/>
        <v/>
      </c>
      <c r="T27" t="str">
        <f t="shared" si="3"/>
        <v/>
      </c>
      <c r="U27" t="str">
        <f t="shared" si="4"/>
        <v/>
      </c>
      <c r="V27" t="str">
        <f t="shared" si="5"/>
        <v/>
      </c>
    </row>
    <row r="28" spans="1:22" ht="12.75" customHeight="1" x14ac:dyDescent="0.25">
      <c r="A28">
        <v>1</v>
      </c>
      <c r="C28">
        <v>52</v>
      </c>
      <c r="D28" t="s">
        <v>132</v>
      </c>
      <c r="E28" t="s">
        <v>147</v>
      </c>
      <c r="F28">
        <v>29.95</v>
      </c>
      <c r="G28" t="s">
        <v>47</v>
      </c>
      <c r="H28" t="s">
        <v>72</v>
      </c>
      <c r="I28" t="s">
        <v>11</v>
      </c>
      <c r="J28" t="s">
        <v>68</v>
      </c>
      <c r="N28" s="1" t="str" cm="1">
        <f t="array" ref="N28">_xlfn.IFS(L28="Poshmark",IF(M28&gt;=15,M28*0.2,2.95),L28="Mercari",((M28*0.129)+0.5),L28="","",L28="Damaged","",L28="eBay","")</f>
        <v/>
      </c>
      <c r="P28" s="1" t="str">
        <f>IF(M28&gt;0,SUM(M28-N28-O28),"")</f>
        <v/>
      </c>
      <c r="Q28" s="1" t="str">
        <f>IF(M28&gt;0,P28-#REF!,"")</f>
        <v/>
      </c>
      <c r="R28">
        <f t="shared" ca="1" si="1"/>
        <v>0</v>
      </c>
      <c r="S28" t="str">
        <f>IF(K28="","",_xlfn.CONCAT(YEAR(K28),MONTH(K28)))</f>
        <v/>
      </c>
      <c r="T28" t="str">
        <f t="shared" si="3"/>
        <v/>
      </c>
      <c r="U28" t="str">
        <f>LEFT(S28,4)</f>
        <v/>
      </c>
      <c r="V28" t="str">
        <f>IF(ISBLANK(B28),"",TEXT(B28,"dddd"))</f>
        <v/>
      </c>
    </row>
  </sheetData>
  <autoFilter ref="A1:V28" xr:uid="{CA7D3908-18B1-4EBE-91EB-7C7212BCB62C}">
    <sortState xmlns:xlrd2="http://schemas.microsoft.com/office/spreadsheetml/2017/richdata2" ref="A2:V28">
      <sortCondition ref="D1:D28"/>
    </sortState>
  </autoFilter>
  <phoneticPr fontId="3" type="noConversion"/>
  <dataValidations count="1">
    <dataValidation type="textLength" operator="lessThanOrEqual" allowBlank="1" showInputMessage="1" showErrorMessage="1" sqref="E1:E1048576" xr:uid="{5C3231EC-79A5-440F-8487-068EF7F81A72}">
      <formula1>80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LPUpload Bot</vt:lpstr>
      <vt:lpstr>Resale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Valbracht</dc:creator>
  <cp:lastModifiedBy>Wendy Valbracht</cp:lastModifiedBy>
  <dcterms:created xsi:type="dcterms:W3CDTF">2023-01-23T05:45:07Z</dcterms:created>
  <dcterms:modified xsi:type="dcterms:W3CDTF">2023-12-08T03:27:43Z</dcterms:modified>
</cp:coreProperties>
</file>